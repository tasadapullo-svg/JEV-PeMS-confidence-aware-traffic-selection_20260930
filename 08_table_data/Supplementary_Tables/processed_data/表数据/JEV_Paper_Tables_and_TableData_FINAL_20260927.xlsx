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7e4a8f7b742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9e2cc63dbd14626"/>
    <x:sheet xmlns:r="http://schemas.openxmlformats.org/officeDocument/2006/relationships" name="Table1_Protocol" sheetId="2" r:id="Ra5cb8fa3166446dd"/>
    <x:sheet xmlns:r="http://schemas.openxmlformats.org/officeDocument/2006/relationships" name="Table2_FinalTest" sheetId="3" r:id="R9f2e3911b40a439d"/>
    <x:sheet xmlns:r="http://schemas.openxmlformats.org/officeDocument/2006/relationships" name="Table3_Confidence" sheetId="4" r:id="R64125e98c5d34d1b"/>
    <x:sheet xmlns:r="http://schemas.openxmlformats.org/officeDocument/2006/relationships" name="Source_Fig4a_Exact" sheetId="5" r:id="Rf9058cf69e114201"/>
    <x:sheet xmlns:r="http://schemas.openxmlformats.org/officeDocument/2006/relationships" name="Supp_Boundary_Failure" sheetId="6" r:id="Rae486c4885914436"/>
    <x:sheet xmlns:r="http://schemas.openxmlformats.org/officeDocument/2006/relationships" name="Supp_Downstream" sheetId="7" r:id="R4ce423c441c94ea9"/>
    <x:sheet xmlns:r="http://schemas.openxmlformats.org/officeDocument/2006/relationships" name="Evidence_Register" sheetId="8" r:id="Red318b0f818b43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%"/>
    <x:numFmt numFmtId="202" formatCode="0.0%"/>
    <x:numFmt numFmtId="203" formatCode="0.0"/>
    <x:numFmt numFmtId="204" formatCode="0.000000"/>
  </x:numFmts>
  <x:fonts count="5">
    <x:font>
      <x:sz val="11"/>
      <x:name val="Carlito"/>
    </x:font>
    <x:font>
      <x:b/>
      <x:sz val="14"/>
      <x:color rgb="FF000000"/>
      <x:name val="Carlito"/>
    </x:font>
    <x:font>
      <x:i/>
      <x:sz val="9"/>
      <x:color rgb="FF404040"/>
      <x:name val="Carlito"/>
    </x:font>
    <x:font>
      <x:b/>
      <x:sz val="11"/>
      <x:color rgb="FF000000"/>
      <x:name val="Carlito"/>
    </x:font>
    <x:font>
      <x:sz val="10"/>
      <x:color rgb="FF000000"/>
      <x:name val="Carlito"/>
    </x:font>
  </x:fonts>
  <x:fills count="2">
    <x:fill>
      <x:patternFill patternType="none"/>
    </x:fill>
    <x:fill>
      <x:patternFill patternType="gray125"/>
    </x:fill>
  </x:fills>
  <x:borders count="18">
    <x:border/>
    <x:border/>
    <x:border>
      <x:left style="thin">
        <x:color rgb="FFA0A0A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A0A0A0"/>
      </x:right>
      <x:top style="thin">
        <x:color rgb="FF000000"/>
      </x:top>
      <x:bottom style="thin">
        <x:color rgb="FF000000"/>
      </x:bottom>
    </x:border>
    <x:border>
      <x:left style="thin">
        <x:color rgb="FFA0A0A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A0A0A0"/>
      </x:right>
      <x:top style="thin">
        <x:color rgb="FF000000"/>
      </x:top>
      <x:bottom style="thin">
        <x:color rgb="FF000000"/>
      </x:bottom>
    </x:border>
    <x:border>
      <x:left style="hair">
        <x:color rgb="FFD0D0D0"/>
      </x:left>
    </x:border>
    <x:border>
      <x:right style="hair">
        <x:color rgb="FFD0D0D0"/>
      </x:right>
    </x:border>
    <x:border>
      <x:left style="hair">
        <x:color rgb="FFD0D0D0"/>
      </x:left>
      <x:bottom style="hair">
        <x:color rgb="FFC0C0C0"/>
      </x:bottom>
    </x:border>
    <x:border>
      <x:bottom style="hair">
        <x:color rgb="FFC0C0C0"/>
      </x:bottom>
    </x:border>
    <x:border>
      <x:right style="hair">
        <x:color rgb="FFD0D0D0"/>
      </x:right>
      <x:bottom style="hair">
        <x:color rgb="FFC0C0C0"/>
      </x:bottom>
    </x:border>
    <x:border>
      <x:left style="hair">
        <x:color rgb="FFD0D0D0"/>
      </x:left>
    </x:border>
    <x:border>
      <x:right style="hair">
        <x:color rgb="FFD0D0D0"/>
      </x:right>
    </x:border>
    <x:border>
      <x:left style="hair">
        <x:color rgb="FFD0D0D0"/>
      </x:left>
      <x:bottom style="hair">
        <x:color rgb="FFC0C0C0"/>
      </x:bottom>
    </x:border>
    <x:border>
      <x:bottom style="hair">
        <x:color rgb="FFC0C0C0"/>
      </x:bottom>
    </x:border>
    <x:border>
      <x:right style="hair">
        <x:color rgb="FFD0D0D0"/>
      </x:right>
      <x:bottom style="hair">
        <x:color rgb="FFC0C0C0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horizontal="center" wrapText="1"/>
    </x:xf>
    <x:xf numFmtId="0" fontId="3" fillId="0" borderId="3" xfId="0" applyNumberFormat="1" applyFont="1" applyFill="1" applyBorder="1" applyAlignment="1">
      <x:alignment horizontal="center" wrapText="1"/>
    </x:xf>
    <x:xf numFmtId="0" fontId="3" fillId="0" borderId="4" xfId="0" applyNumberFormat="1" applyFont="1" applyFill="1" applyBorder="1" applyAlignment="1">
      <x:alignment horizont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horizontal="center" wrapText="1"/>
    </x:xf>
    <x:xf numFmtId="0" fontId="3" fillId="0" borderId="6" xfId="0" applyNumberFormat="1" applyFont="1" applyFill="1" applyBorder="1" applyAlignment="1">
      <x:alignment horizontal="center" wrapText="1"/>
    </x:xf>
    <x:xf numFmtId="0" fontId="3" fillId="0" borderId="7" xfId="0" applyNumberFormat="1" applyFont="1" applyFill="1" applyBorder="1" applyAlignment="1">
      <x:alignment horizont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16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9" xfId="0" applyNumberFormat="1" applyFont="1" applyFill="1" applyBorder="1" applyAlignment="1">
      <x:alignment vertical="center" wrapText="1"/>
    </x:xf>
    <x:xf numFmtId="201" fontId="4" fillId="0" borderId="11" xfId="0" applyNumberFormat="1" applyFont="1" applyFill="1" applyBorder="1" applyAlignment="1">
      <x:alignment vertical="center" wrapText="1"/>
    </x:xf>
    <x:xf numFmtId="201" fontId="4" fillId="0" borderId="12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1" fontId="4" fillId="0" borderId="14" xfId="0" applyNumberFormat="1" applyFont="1" applyFill="1" applyBorder="1" applyAlignment="1">
      <x:alignment vertical="center" wrapText="1"/>
    </x:xf>
    <x:xf numFmtId="201" fontId="4" fillId="0" borderId="16" xfId="0" applyNumberFormat="1" applyFont="1" applyFill="1" applyBorder="1" applyAlignment="1">
      <x:alignment vertical="center" wrapText="1"/>
    </x:xf>
    <x:xf numFmtId="201" fontId="4" fillId="0" borderId="17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1" fontId="4" fillId="0" borderId="10" xfId="0" applyNumberFormat="1" applyFont="1" applyFill="1" applyBorder="1" applyAlignment="1">
      <x:alignment vertical="center" wrapText="1"/>
    </x:xf>
    <x:xf numFmtId="201" fontId="4" fillId="0" borderId="13" xfId="0" applyNumberFormat="1" applyFont="1" applyFill="1" applyBorder="1" applyAlignment="1">
      <x:alignment vertical="center" wrapText="1"/>
    </x:xf>
    <x:xf numFmtId="201" fontId="4" fillId="0" borderId="15" xfId="0" applyNumberFormat="1" applyFont="1" applyFill="1" applyBorder="1" applyAlignment="1">
      <x:alignment vertical="center" wrapText="1"/>
    </x:xf>
    <x:xf numFmtId="202" fontId="4" fillId="0" borderId="9" xfId="0" applyNumberFormat="1" applyFont="1" applyFill="1" applyBorder="1" applyAlignment="1">
      <x:alignment vertical="center" wrapText="1"/>
    </x:xf>
    <x:xf numFmtId="202" fontId="4" fillId="0" borderId="12" xfId="0" applyNumberFormat="1" applyFont="1" applyFill="1" applyBorder="1" applyAlignment="1">
      <x:alignment vertical="center" wrapText="1"/>
    </x:xf>
    <x:xf numFmtId="202" fontId="4" fillId="0" borderId="14" xfId="0" applyNumberFormat="1" applyFont="1" applyFill="1" applyBorder="1" applyAlignment="1">
      <x:alignment vertical="center" wrapText="1"/>
    </x:xf>
    <x:xf numFmtId="202" fontId="4" fillId="0" borderId="17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4" fillId="0" borderId="1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3" fontId="4" fillId="0" borderId="16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4" fontId="4" fillId="0" borderId="9" xfId="0" applyNumberFormat="1" applyFont="1" applyFill="1" applyBorder="1" applyAlignment="1">
      <x:alignment vertical="center" wrapText="1"/>
    </x:xf>
    <x:xf numFmtId="204" fontId="4" fillId="0" borderId="11" xfId="0" applyNumberFormat="1" applyFont="1" applyFill="1" applyBorder="1" applyAlignment="1">
      <x:alignment vertical="center" wrapText="1"/>
    </x:xf>
    <x:xf numFmtId="204" fontId="4" fillId="0" borderId="12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  <x:xf numFmtId="204" fontId="4" fillId="0" borderId="14" xfId="0" applyNumberFormat="1" applyFont="1" applyFill="1" applyBorder="1" applyAlignment="1">
      <x:alignment vertical="center" wrapText="1"/>
    </x:xf>
    <x:xf numFmtId="204" fontId="4" fillId="0" borderId="16" xfId="0" applyNumberFormat="1" applyFont="1" applyFill="1" applyBorder="1" applyAlignment="1">
      <x:alignment vertical="center" wrapText="1"/>
    </x:xf>
    <x:xf numFmtId="204" fontId="4" fillId="0" borderId="1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2dd0642dd4672" /><Relationship Type="http://schemas.openxmlformats.org/officeDocument/2006/relationships/theme" Target="/xl/theme/theme1.xml" Id="R36e7d893dd7f40c5" /><Relationship Type="http://schemas.openxmlformats.org/officeDocument/2006/relationships/sharedStrings" Target="/xl/sharedStrings.xml" Id="R23b9d6e20fa24804" /><Relationship Type="http://schemas.openxmlformats.org/officeDocument/2006/relationships/worksheet" Target="/xl/worksheets/sheet1.xml" Id="Re9e2cc63dbd14626" /><Relationship Type="http://schemas.openxmlformats.org/officeDocument/2006/relationships/worksheet" Target="/xl/worksheets/sheet2.xml" Id="Ra5cb8fa3166446dd" /><Relationship Type="http://schemas.openxmlformats.org/officeDocument/2006/relationships/worksheet" Target="/xl/worksheets/sheet3.xml" Id="R9f2e3911b40a439d" /><Relationship Type="http://schemas.openxmlformats.org/officeDocument/2006/relationships/worksheet" Target="/xl/worksheets/sheet4.xml" Id="R64125e98c5d34d1b" /><Relationship Type="http://schemas.openxmlformats.org/officeDocument/2006/relationships/worksheet" Target="/xl/worksheets/sheet5.xml" Id="Rf9058cf69e114201" /><Relationship Type="http://schemas.openxmlformats.org/officeDocument/2006/relationships/worksheet" Target="/xl/worksheets/sheet6.xml" Id="Rae486c4885914436" /><Relationship Type="http://schemas.openxmlformats.org/officeDocument/2006/relationships/worksheet" Target="/xl/worksheets/sheet7.xml" Id="R4ce423c441c94ea9" /><Relationship Type="http://schemas.openxmlformats.org/officeDocument/2006/relationships/worksheet" Target="/xl/worksheets/sheet8.xml" Id="Red318b0f818b43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25" hidden="0" customWidth="1"/>
    <x:col min="4" max="4" width="24" hidden="0" customWidth="1"/>
    <x:col min="5" max="5" width="30" hidden="0" customWidth="1"/>
    <x:col min="6" max="6" width="42" hidden="0" customWidth="1"/>
  </x:cols>
  <x:sheetData>
    <x:row r="1" ht="24" customHeight="1">
      <x:c r="A1" s="4" t="str">
        <x:v>JEV Small Paper - Paper Tables and Table Source Data</x:v>
      </x:c>
      <x:c r="B1" s="4"/>
      <x:c r="C1" s="4"/>
      <x:c r="D1" s="4"/>
      <x:c r="E1" s="4"/>
      <x:c r="F1" s="4"/>
    </x:row>
    <x:row r="2" ht="30" customHeight="1">
      <x:c r="A2" s="9" t="str">
        <x:v>Frozen manuscript-table package | 27 Sep 2026 | Main-text tables are separated from supplementary evidence.</x:v>
      </x:c>
      <x:c r="B2" s="9"/>
      <x:c r="C2" s="9"/>
      <x:c r="D2" s="9"/>
      <x:c r="E2" s="9"/>
      <x:c r="F2" s="9"/>
    </x:row>
    <x:row r="4">
      <x:c r="A4" s="22" t="str">
        <x:v>Item</x:v>
      </x:c>
      <x:c r="B4" s="23" t="str">
        <x:v>Decision / status</x:v>
      </x:c>
      <x:c r="C4" s="23" t="str">
        <x:v>Evidence level</x:v>
      </x:c>
      <x:c r="D4" s="23" t="str">
        <x:v>Use in manuscript</x:v>
      </x:c>
      <x:c r="E4" s="23" t="str">
        <x:v>Primary source</x:v>
      </x:c>
      <x:c r="F4" s="24" t="str">
        <x:v>Notes</x:v>
      </x:c>
    </x:row>
    <x:row r="5">
      <x:c r="A5" s="50" t="str">
        <x:v>Table 1</x:v>
      </x:c>
      <x:c r="B5" s="51" t="str">
        <x:v>FINAL</x:v>
      </x:c>
      <x:c r="C5" s="51" t="str">
        <x:v>Frozen design/audit</x:v>
      </x:c>
      <x:c r="D5" s="51" t="str">
        <x:v>Main text - Methods</x:v>
      </x:c>
      <x:c r="E5" s="51" t="str">
        <x:v>Positioning baseline + Step0C/Step2B audits</x:v>
      </x:c>
      <x:c r="F5" s="52" t="str">
        <x:v>Study design, cohort, leakage controls</x:v>
      </x:c>
    </x:row>
    <x:row r="6">
      <x:c r="A6" s="50" t="str">
        <x:v>Table 2</x:v>
      </x:c>
      <x:c r="B6" s="51" t="str">
        <x:v>FINAL</x:v>
      </x:c>
      <x:c r="C6" s="51" t="str">
        <x:v>Held-out Final Test confirmatory</x:v>
      </x:c>
      <x:c r="D6" s="51" t="str">
        <x:v>Main text - Results</x:v>
      </x:c>
      <x:c r="E6" s="51" t="str">
        <x:v>Frozen Final Test summary</x:v>
      </x:c>
      <x:c r="F6" s="52" t="str">
        <x:v>Overall selection + P1-P4; negative findings retained</x:v>
      </x:c>
    </x:row>
    <x:row r="7">
      <x:c r="A7" s="50" t="str">
        <x:v>Table 3</x:v>
      </x:c>
      <x:c r="B7" s="51" t="str">
        <x:v>FINAL</x:v>
      </x:c>
      <x:c r="C7" s="51" t="str">
        <x:v>Held-out Final Test confirmatory</x:v>
      </x:c>
      <x:c r="D7" s="51" t="str">
        <x:v>Main text - Results</x:v>
      </x:c>
      <x:c r="E7" s="51" t="str">
        <x:v>Fig4a_source.csv + Fig4b_source.csv</x:v>
      </x:c>
      <x:c r="F7" s="52" t="str">
        <x:v>Calibration, AURC, fixed-coverage operating points</x:v>
      </x:c>
    </x:row>
    <x:row r="8">
      <x:c r="A8" s="50" t="str">
        <x:v>Efficiency / ablation</x:v>
      </x:c>
      <x:c r="B8" s="51" t="str">
        <x:v>MOVE TO SUPPLEMENT</x:v>
      </x:c>
      <x:c r="C8" s="51" t="str">
        <x:v>Frozen development</x:v>
      </x:c>
      <x:c r="D8" s="51" t="str">
        <x:v>Supplementary / Fig.5</x:v>
      </x:c>
      <x:c r="E8" s="51" t="str">
        <x:v>Step2E / Step2G production sources</x:v>
      </x:c>
      <x:c r="F8" s="52" t="str">
        <x:v>Do not duplicate Fig.5 in a main table</x:v>
      </x:c>
    </x:row>
    <x:row r="9">
      <x:c r="A9" s="50" t="str">
        <x:v>Boundary / failures</x:v>
      </x:c>
      <x:c r="B9" s="51" t="str">
        <x:v>SUPPLEMENTARY</x:v>
      </x:c>
      <x:c r="C9" s="51" t="str">
        <x:v>Final Test supporting</x:v>
      </x:c>
      <x:c r="D9" s="51" t="str">
        <x:v>Supplementary</x:v>
      </x:c>
      <x:c r="E9" s="51" t="str">
        <x:v>Frozen Final Test summary</x:v>
      </x:c>
      <x:c r="F9" s="52" t="str">
        <x:v>0/4 boundaries replicated; failure counts retained</x:v>
      </x:c>
    </x:row>
    <x:row r="10">
      <x:c r="A10" s="53" t="str">
        <x:v>Downstream sensitivity</x:v>
      </x:c>
      <x:c r="B10" s="54" t="str">
        <x:v>SUPPLEMENTARY</x:v>
      </x:c>
      <x:c r="C10" s="54" t="str">
        <x:v>Supporting/descriptive</x:v>
      </x:c>
      <x:c r="D10" s="54" t="str">
        <x:v>Supplementary / Discussion</x:v>
      </x:c>
      <x:c r="E10" s="54" t="str">
        <x:v>Frozen XGB and GRU evaluators</x:v>
      </x:c>
      <x:c r="F10" s="55" t="str">
        <x:v>Evaluator-sensitive; no superiority claim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48" hidden="0" customWidth="1"/>
  </x:cols>
  <x:sheetData>
    <x:row r="1" ht="24" customHeight="1">
      <x:c r="A1" s="4" t="str">
        <x:v>Table 1. Frozen dataset and experimental protocol</x:v>
      </x:c>
      <x:c r="B1" s="4"/>
      <x:c r="C1" s="4"/>
    </x:row>
    <x:row r="2" ht="30" customHeight="1">
      <x:c r="A2" s="9" t="str">
        <x:v>Recommended main-text table. Values reflect the frozen H30 primary analysis.</x:v>
      </x:c>
      <x:c r="B2" s="9"/>
      <x:c r="C2" s="9"/>
    </x:row>
    <x:row r="4">
      <x:c r="A4" s="22" t="str">
        <x:v>Item</x:v>
      </x:c>
      <x:c r="B4" s="23" t="str">
        <x:v>Frozen specification</x:v>
      </x:c>
      <x:c r="C4" s="24" t="str">
        <x:v>Purpose / note</x:v>
      </x:c>
    </x:row>
    <x:row r="5">
      <x:c r="A5" s="50" t="str">
        <x:v>Data source</x:v>
      </x:c>
      <x:c r="B5" s="51" t="str">
        <x:v>Caltrans PeMS District 7, Mainline (ML) official data</x:v>
      </x:c>
      <x:c r="C5" s="52" t="str">
        <x:v>Frozen study scope</x:v>
      </x:c>
    </x:row>
    <x:row r="6">
      <x:c r="A6" s="50" t="str">
        <x:v>Observation period</x:v>
      </x:c>
      <x:c r="B6" s="51" t="str">
        <x:v>2026-01-01 to 2026-08-31 (243 days)</x:v>
      </x:c>
      <x:c r="C6" s="52" t="str">
        <x:v>Archived raw-data period</x:v>
      </x:c>
    </x:row>
    <x:row r="7">
      <x:c r="A7" s="50" t="str">
        <x:v>Raw ML stations</x:v>
      </x:c>
      <x:c r="B7" s="51" t="n">
        <x:v>1936</x:v>
      </x:c>
      <x:c r="C7" s="52" t="str">
        <x:v>Initial District 7 mainline station set</x:v>
      </x:c>
    </x:row>
    <x:row r="8">
      <x:c r="A8" s="50" t="str">
        <x:v>Stable matched ML stations</x:v>
      </x:c>
      <x:c r="B8" s="51" t="n">
        <x:v>1886</x:v>
      </x:c>
      <x:c r="C8" s="52" t="str">
        <x:v>Stable station universe after audit</x:v>
      </x:c>
    </x:row>
    <x:row r="9">
      <x:c r="A9" s="50" t="str">
        <x:v>H30 three-split common-Q0 stations</x:v>
      </x:c>
      <x:c r="B9" s="51" t="n">
        <x:v>172</x:v>
      </x:c>
      <x:c r="C9" s="52" t="str">
        <x:v>Common across chronological Train/Validation/Test</x:v>
      </x:c>
    </x:row>
    <x:row r="10">
      <x:c r="A10" s="50" t="str">
        <x:v>Primary evaluable stations</x:v>
      </x:c>
      <x:c r="B10" s="51" t="n">
        <x:v>171</x:v>
      </x:c>
      <x:c r="C10" s="52" t="str">
        <x:v>Station 777316 excluded from primary analysis because of insufficient candidate structure</x:v>
      </x:c>
    </x:row>
    <x:row r="11">
      <x:c r="A11" s="50" t="str">
        <x:v>Primary horizon</x:v>
      </x:c>
      <x:c r="B11" s="51" t="str">
        <x:v>H30</x:v>
      </x:c>
      <x:c r="C11" s="52" t="str">
        <x:v>30-min downstream utility task</x:v>
      </x:c>
    </x:row>
    <x:row r="12">
      <x:c r="A12" s="50" t="str">
        <x:v>Candidate pool</x:v>
      </x:c>
      <x:c r="B12" s="51" t="str">
        <x:v>Same freeway/route and direction; nearest K=5 by absolute postmile; target station excluded</x:v>
      </x:c>
      <x:c r="C12" s="52" t="str">
        <x:v>Frozen before Test</x:v>
      </x:c>
    </x:row>
    <x:row r="13">
      <x:c r="A13" s="50" t="str">
        <x:v>Data split</x:v>
      </x:c>
      <x:c r="B13" s="51" t="str">
        <x:v>Chronological Train / Validation / Test</x:v>
      </x:c>
      <x:c r="C13" s="52" t="str">
        <x:v>No random temporal shuffling</x:v>
      </x:c>
    </x:row>
    <x:row r="14">
      <x:c r="A14" s="50" t="str">
        <x:v>Final Test sample</x:v>
      </x:c>
      <x:c r="B14" s="51" t="str">
        <x:v>1,579 target-times from 171 stations</x:v>
      </x:c>
      <x:c r="C14" s="52" t="str">
        <x:v>Same denominator for deployable methods</x:v>
      </x:c>
    </x:row>
    <x:row r="15">
      <x:c r="A15" s="50" t="str">
        <x:v>Primary selection endpoint</x:v>
      </x:c>
      <x:c r="B15" s="51" t="str">
        <x:v>Mean normalized regret (NR)</x:v>
      </x:c>
      <x:c r="C15" s="52" t="str">
        <x:v>Lower is better</x:v>
      </x:c>
    </x:row>
    <x:row r="16">
      <x:c r="A16" s="50" t="str">
        <x:v>Calibration endpoint</x:v>
      </x:c>
      <x:c r="B16" s="51" t="str">
        <x:v>Brier score</x:v>
      </x:c>
      <x:c r="C16" s="52" t="str">
        <x:v>Lower is better</x:v>
      </x:c>
    </x:row>
    <x:row r="17">
      <x:c r="A17" s="50" t="str">
        <x:v>Selective-risk endpoint</x:v>
      </x:c>
      <x:c r="B17" s="51" t="str">
        <x:v>AURC</x:v>
      </x:c>
      <x:c r="C17" s="52" t="str">
        <x:v>Lower is better</x:v>
      </x:c>
    </x:row>
    <x:row r="18">
      <x:c r="A18" s="50" t="str">
        <x:v>Leakage controls</x:v>
      </x:c>
      <x:c r="B18" s="51" t="str">
        <x:v>Feature timestamps &lt;= decision time; train-only preprocessing; identifiers excluded; frozen candidate mapping/losses</x:v>
      </x:c>
      <x:c r="C18" s="52" t="str">
        <x:v>Audited before Final Test</x:v>
      </x:c>
    </x:row>
    <x:row r="19">
      <x:c r="A19" s="53" t="str">
        <x:v>Inference protocol</x:v>
      </x:c>
      <x:c r="B19" s="54" t="str">
        <x:v>Station-cluster inference; 10,000 bootstrap/sign-flip/random-ranking procedures; Holm adjustment; one-shot Final Test</x:v>
      </x:c>
      <x:c r="C19" s="55" t="str">
        <x:v>Frozen statistical protocol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4" hidden="0" customWidth="1"/>
    <x:col min="4" max="4" width="14" hidden="0" customWidth="1"/>
    <x:col min="5" max="5" width="19" hidden="0" customWidth="1"/>
    <x:col min="6" max="6" width="16" hidden="0" customWidth="1"/>
    <x:col min="7" max="7" width="22" hidden="0" customWidth="1"/>
  </x:cols>
  <x:sheetData>
    <x:row r="1" ht="24" customHeight="1">
      <x:c r="A1" s="4" t="str">
        <x:v>Table 2. Held-out Final Test source-selection performance</x:v>
      </x:c>
      <x:c r="B1" s="4"/>
      <x:c r="C1" s="4"/>
      <x:c r="D1" s="4"/>
      <x:c r="E1" s="4"/>
      <x:c r="F1" s="4"/>
      <x:c r="G1" s="4"/>
    </x:row>
    <x:row r="2" ht="30" customHeight="1">
      <x:c r="A2" s="9" t="str">
        <x:v>N = 1,579 target-times from 171 stations; K = 5. Lower normalized regret is better.</x:v>
      </x:c>
      <x:c r="B2" s="9"/>
      <x:c r="C2" s="9"/>
      <x:c r="D2" s="9"/>
      <x:c r="E2" s="9"/>
      <x:c r="F2" s="9"/>
      <x:c r="G2" s="9"/>
    </x:row>
    <x:row r="4">
      <x:c r="A4" s="22" t="str">
        <x:v>Method</x:v>
      </x:c>
      <x:c r="B4" s="23" t="str">
        <x:v>Mean NR ↓</x:v>
      </x:c>
      <x:c r="C4" s="23" t="str">
        <x:v>95% CI lower</x:v>
      </x:c>
      <x:c r="D4" s="23" t="str">
        <x:v>95% CI upper</x:v>
      </x:c>
      <x:c r="E4" s="23" t="str">
        <x:v>Raw regret (mph) ↓</x:v>
      </x:c>
      <x:c r="F4" s="23" t="str">
        <x:v>Top-1 accuracy</x:v>
      </x:c>
      <x:c r="G4" s="24" t="str">
        <x:v>Near-oracle ≤0.5 mph</x:v>
      </x:c>
    </x:row>
    <x:row r="5">
      <x:c r="A5" s="50" t="str">
        <x:v>XGBoost</x:v>
      </x:c>
      <x:c r="B5" s="74" t="n">
        <x:v>0.3499</x:v>
      </x:c>
      <x:c r="C5" s="74" t="n">
        <x:v>0.3181</x:v>
      </x:c>
      <x:c r="D5" s="74" t="n">
        <x:v>0.3831</x:v>
      </x:c>
      <x:c r="E5" s="74" t="n">
        <x:v>1.5239</x:v>
      </x:c>
      <x:c r="F5" s="78" t="n">
        <x:v>0.3078</x:v>
      </x:c>
      <x:c r="G5" s="79" t="n">
        <x:v>0.4813</x:v>
      </x:c>
    </x:row>
    <x:row r="6">
      <x:c r="A6" s="50" t="str">
        <x:v>Ridge</x:v>
      </x:c>
      <x:c r="B6" s="74" t="n">
        <x:v>0.3598</x:v>
      </x:c>
      <x:c r="C6" s="74" t="n">
        <x:v>0.3311</x:v>
      </x:c>
      <x:c r="D6" s="74" t="n">
        <x:v>0.3902</x:v>
      </x:c>
      <x:c r="E6" s="74" t="n">
        <x:v>1.648</x:v>
      </x:c>
      <x:c r="F6" s="78" t="n">
        <x:v>0.3395</x:v>
      </x:c>
      <x:c r="G6" s="79" t="n">
        <x:v>0.4946</x:v>
      </x:c>
    </x:row>
    <x:row r="7">
      <x:c r="A7" s="50" t="str">
        <x:v>Historical Best</x:v>
      </x:c>
      <x:c r="B7" s="74" t="n">
        <x:v>0.3619</x:v>
      </x:c>
      <x:c r="C7" s="74" t="n">
        <x:v>0.3315</x:v>
      </x:c>
      <x:c r="D7" s="74" t="n">
        <x:v>0.3918</x:v>
      </x:c>
      <x:c r="E7" s="74" t="n">
        <x:v>1.4712</x:v>
      </x:c>
      <x:c r="F7" s="78" t="n">
        <x:v>0.2951</x:v>
      </x:c>
      <x:c r="G7" s="79" t="n">
        <x:v>0.4737</x:v>
      </x:c>
    </x:row>
    <x:row r="8">
      <x:c r="A8" s="50" t="str">
        <x:v>Quality Rule</x:v>
      </x:c>
      <x:c r="B8" s="74" t="n">
        <x:v>0.3679</x:v>
      </x:c>
      <x:c r="C8" s="74" t="n">
        <x:v>0.3347</x:v>
      </x:c>
      <x:c r="D8" s="74" t="n">
        <x:v>0.4016</x:v>
      </x:c>
      <x:c r="E8" s="74" t="n">
        <x:v>1.4808</x:v>
      </x:c>
      <x:c r="F8" s="78" t="n">
        <x:v>0.3021</x:v>
      </x:c>
      <x:c r="G8" s="79" t="n">
        <x:v>0.4782</x:v>
      </x:c>
    </x:row>
    <x:row r="9">
      <x:c r="A9" s="50" t="str">
        <x:v>GRU</x:v>
      </x:c>
      <x:c r="B9" s="74" t="n">
        <x:v>0.368</x:v>
      </x:c>
      <x:c r="C9" s="74" t="n">
        <x:v>0.3411</x:v>
      </x:c>
      <x:c r="D9" s="74" t="n">
        <x:v>0.3953</x:v>
      </x:c>
      <x:c r="E9" s="74" t="n">
        <x:v>1.5949</x:v>
      </x:c>
      <x:c r="F9" s="78" t="n">
        <x:v>0.2989</x:v>
      </x:c>
      <x:c r="G9" s="79" t="n">
        <x:v>0.4737</x:v>
      </x:c>
    </x:row>
    <x:row r="10">
      <x:c r="A10" s="50" t="str">
        <x:v>JEV</x:v>
      </x:c>
      <x:c r="B10" s="74" t="n">
        <x:v>0.3834</x:v>
      </x:c>
      <x:c r="C10" s="74" t="n">
        <x:v>0.3544</x:v>
      </x:c>
      <x:c r="D10" s="74" t="n">
        <x:v>0.4133</x:v>
      </x:c>
      <x:c r="E10" s="74" t="n">
        <x:v>1.688</x:v>
      </x:c>
      <x:c r="F10" s="78" t="n">
        <x:v>0.2825</x:v>
      </x:c>
      <x:c r="G10" s="79" t="n">
        <x:v>0.4592</x:v>
      </x:c>
    </x:row>
    <x:row r="11">
      <x:c r="A11" s="53" t="str">
        <x:v>Nearest</x:v>
      </x:c>
      <x:c r="B11" s="75" t="n">
        <x:v>0.4344</x:v>
      </x:c>
      <x:c r="C11" s="75" t="n">
        <x:v>0.3947</x:v>
      </x:c>
      <x:c r="D11" s="75" t="n">
        <x:v>0.4716</x:v>
      </x:c>
      <x:c r="E11" s="75" t="n">
        <x:v>1.989</x:v>
      </x:c>
      <x:c r="F11" s="80" t="n">
        <x:v>0.2343</x:v>
      </x:c>
      <x:c r="G11" s="81" t="n">
        <x:v>0.3984</x:v>
      </x:c>
    </x:row>
    <x:row r="14">
      <x:c r="A14" s="22" t="str">
        <x:v>Test</x:v>
      </x:c>
      <x:c r="B14" s="23" t="str">
        <x:v>Comparison</x:v>
      </x:c>
      <x:c r="C14" s="23" t="str">
        <x:v>Effect</x:v>
      </x:c>
      <x:c r="D14" s="23" t="str">
        <x:v>Effect metric</x:v>
      </x:c>
      <x:c r="E14" s="23" t="str">
        <x:v>Holm p</x:v>
      </x:c>
      <x:c r="F14" s="23" t="str">
        <x:v>Inference</x:v>
      </x:c>
      <x:c r="G14" s="24" t="str">
        <x:v>Interpretation</x:v>
      </x:c>
    </x:row>
    <x:row r="15">
      <x:c r="A15" s="50" t="str">
        <x:v>P1</x:v>
      </x:c>
      <x:c r="B15" s="51" t="str">
        <x:v>JEV - Quality Rule</x:v>
      </x:c>
      <x:c r="C15" s="74" t="n">
        <x:v>0.0271</x:v>
      </x:c>
      <x:c r="D15" s="51" t="str">
        <x:v>Delta NR</x:v>
      </x:c>
      <x:c r="E15" s="74" t="n">
        <x:v>0.081</x:v>
      </x:c>
      <x:c r="F15" s="51" t="str">
        <x:v>Not significant</x:v>
      </x:c>
      <x:c r="G15" s="52" t="str">
        <x:v>No equivalence claim</x:v>
      </x:c>
    </x:row>
    <x:row r="16">
      <x:c r="A16" s="50" t="str">
        <x:v>P2</x:v>
      </x:c>
      <x:c r="B16" s="51" t="str">
        <x:v>JEV - XGBoost</x:v>
      </x:c>
      <x:c r="C16" s="74" t="n">
        <x:v>0.0696</x:v>
      </x:c>
      <x:c r="D16" s="51" t="str">
        <x:v>Delta NR</x:v>
      </x:c>
      <x:c r="E16" s="74" t="n">
        <x:v>0.0004</x:v>
      </x:c>
      <x:c r="F16" s="51" t="str">
        <x:v>Significant; unfavorable to JEV</x:v>
      </x:c>
      <x:c r="G16" s="52" t="str">
        <x:v>XGBoost lower NR</x:v>
      </x:c>
    </x:row>
    <x:row r="17">
      <x:c r="A17" s="50" t="str">
        <x:v>P3</x:v>
      </x:c>
      <x:c r="B17" s="51" t="str">
        <x:v>JEV - GRU</x:v>
      </x:c>
      <x:c r="C17" s="74" t="n">
        <x:v>0.0459</x:v>
      </x:c>
      <x:c r="D17" s="51" t="str">
        <x:v>Delta NR</x:v>
      </x:c>
      <x:c r="E17" s="74" t="n">
        <x:v>0.0248</x:v>
      </x:c>
      <x:c r="F17" s="51" t="str">
        <x:v>Significant; unfavorable to JEV</x:v>
      </x:c>
      <x:c r="G17" s="52" t="str">
        <x:v>GRU lower NR</x:v>
      </x:c>
    </x:row>
    <x:row r="18">
      <x:c r="A18" s="53" t="str">
        <x:v>P4</x:v>
      </x:c>
      <x:c r="B18" s="54" t="str">
        <x:v>Full confidence - random retention</x:v>
      </x:c>
      <x:c r="C18" s="75" t="n">
        <x:v>-0.0493548620062983</x:v>
      </x:c>
      <x:c r="D18" s="54" t="str">
        <x:v>Delta AURC</x:v>
      </x:c>
      <x:c r="E18" s="75" t="n">
        <x:v>0.0003999600039996</x:v>
      </x:c>
      <x:c r="F18" s="54" t="str">
        <x:v>Supported</x:v>
      </x:c>
      <x:c r="G18" s="55" t="str">
        <x:v>Full confidence lower AURC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24" hidden="0" customWidth="1"/>
    <x:col min="5" max="5" width="23" hidden="0" customWidth="1"/>
    <x:col min="6" max="6" width="48" hidden="0" customWidth="1"/>
  </x:cols>
  <x:sheetData>
    <x:row r="1" ht="24" customHeight="1">
      <x:c r="A1" s="4" t="str">
        <x:v>Table 3. Confidence calibration and selective-risk performance</x:v>
      </x:c>
      <x:c r="B1" s="4"/>
      <x:c r="C1" s="4"/>
      <x:c r="D1" s="4"/>
      <x:c r="E1" s="4"/>
      <x:c r="F1" s="4"/>
    </x:row>
    <x:row r="2" ht="30" customHeight="1">
      <x:c r="A2" s="9" t="str">
        <x:v>Final Test confirmatory results. Holm-adjusted p-values are reported where prespecified comparisons exist.</x:v>
      </x:c>
      <x:c r="B2" s="9"/>
      <x:c r="C2" s="9"/>
      <x:c r="D2" s="9"/>
      <x:c r="E2" s="9"/>
      <x:c r="F2" s="9"/>
    </x:row>
    <x:row r="4">
      <x:c r="A4" s="22" t="str">
        <x:v>Method / comparison</x:v>
      </x:c>
      <x:c r="B4" s="23" t="str">
        <x:v>Metric</x:v>
      </x:c>
      <x:c r="C4" s="23" t="str">
        <x:v>Value</x:v>
      </x:c>
      <x:c r="D4" s="23" t="str">
        <x:v>Holm p</x:v>
      </x:c>
      <x:c r="E4" s="23" t="str">
        <x:v>Status</x:v>
      </x:c>
      <x:c r="F4" s="24" t="str">
        <x:v>Interpretation</x:v>
      </x:c>
    </x:row>
    <x:row r="5">
      <x:c r="A5" s="50" t="str">
        <x:v>Raw Identity</x:v>
      </x:c>
      <x:c r="B5" s="51" t="str">
        <x:v>Brier</x:v>
      </x:c>
      <x:c r="C5" s="74" t="n">
        <x:v>0.4291907967513756</x:v>
      </x:c>
      <x:c r="D5" s="74"/>
      <x:c r="E5" s="51" t="str">
        <x:v>Final Test</x:v>
      </x:c>
      <x:c r="F5" s="52" t="str">
        <x:v>Raw confidence is not directly probabilistic</x:v>
      </x:c>
    </x:row>
    <x:row r="6">
      <x:c r="A6" s="50" t="str">
        <x:v>Final Platt</x:v>
      </x:c>
      <x:c r="B6" s="51" t="str">
        <x:v>Brier</x:v>
      </x:c>
      <x:c r="C6" s="74" t="n">
        <x:v>0.2485807448779746</x:v>
      </x:c>
      <x:c r="D6" s="74" t="n">
        <x:v>0.0002999700029997</x:v>
      </x:c>
      <x:c r="E6" s="51" t="str">
        <x:v>C1 supported</x:v>
      </x:c>
      <x:c r="F6" s="52" t="str">
        <x:v>Significantly lower Brier than Raw</x:v>
      </x:c>
    </x:row>
    <x:row r="7">
      <x:c r="A7" s="50" t="str">
        <x:v>Constant Validation Base Rate</x:v>
      </x:c>
      <x:c r="B7" s="51" t="str">
        <x:v>Brier</x:v>
      </x:c>
      <x:c r="C7" s="74" t="n">
        <x:v>0.2499205391883582</x:v>
      </x:c>
      <x:c r="D7" s="74" t="n">
        <x:v>0.6532346765323468</x:v>
      </x:c>
      <x:c r="E7" s="51" t="str">
        <x:v>C2 not supported</x:v>
      </x:c>
      <x:c r="F7" s="52" t="str">
        <x:v>Platt did not significantly beat constant base rate</x:v>
      </x:c>
    </x:row>
    <x:row r="8">
      <x:c r="A8" s="50" t="str">
        <x:v>Full confidence</x:v>
      </x:c>
      <x:c r="B8" s="51" t="str">
        <x:v>AURC</x:v>
      </x:c>
      <x:c r="C8" s="74" t="n">
        <x:v>0.3339947281946537</x:v>
      </x:c>
      <x:c r="D8" s="74"/>
      <x:c r="E8" s="51" t="str">
        <x:v>Final Test</x:v>
      </x:c>
      <x:c r="F8" s="52" t="str">
        <x:v>Selective-risk summary</x:v>
      </x:c>
    </x:row>
    <x:row r="9">
      <x:c r="A9" s="50" t="str">
        <x:v>Full - Random retention</x:v>
      </x:c>
      <x:c r="B9" s="51" t="str">
        <x:v>Delta AURC</x:v>
      </x:c>
      <x:c r="C9" s="74" t="n">
        <x:v>-0.0493548620062983</x:v>
      </x:c>
      <x:c r="D9" s="74" t="n">
        <x:v>0.0003999600039996</x:v>
      </x:c>
      <x:c r="E9" s="51" t="str">
        <x:v>P4 supported</x:v>
      </x:c>
      <x:c r="F9" s="52" t="str">
        <x:v>Negative = lower selective risk</x:v>
      </x:c>
    </x:row>
    <x:row r="10">
      <x:c r="A10" s="53" t="str">
        <x:v>Full - Margin-only</x:v>
      </x:c>
      <x:c r="B10" s="54" t="str">
        <x:v>Delta AURC</x:v>
      </x:c>
      <x:c r="C10" s="75" t="n">
        <x:v>-0.0260022009607786</x:v>
      </x:c>
      <x:c r="D10" s="75" t="n">
        <x:v>0.0002999700029997</x:v>
      </x:c>
      <x:c r="E10" s="54" t="str">
        <x:v>C3 supported</x:v>
      </x:c>
      <x:c r="F10" s="55" t="str">
        <x:v>Full confidence has better selective ordering</x:v>
      </x:c>
    </x:row>
    <x:row r="13">
      <x:c r="A13" s="22" t="str">
        <x:v>Requested coverage</x:v>
      </x:c>
      <x:c r="B13" s="23" t="str">
        <x:v>Actual coverage</x:v>
      </x:c>
      <x:c r="C13" s="23" t="str">
        <x:v>N retained</x:v>
      </x:c>
      <x:c r="D13" s="23" t="str">
        <x:v>Normalized regret risk ↓</x:v>
      </x:c>
      <x:c r="E13" s="24" t="str">
        <x:v>Risk reduction vs 100%</x:v>
      </x:c>
    </x:row>
    <x:row r="14">
      <x:c r="A14" s="86" t="n">
        <x:v>1</x:v>
      </x:c>
      <x:c r="B14" s="78" t="n">
        <x:v>1</x:v>
      </x:c>
      <x:c r="C14" s="51" t="n">
        <x:v>1579</x:v>
      </x:c>
      <x:c r="D14" s="74" t="n">
        <x:v>0.3834</x:v>
      </x:c>
      <x:c r="E14" s="90" t="n">
        <x:f>0</x:f>
        <x:v>0</x:v>
      </x:c>
    </x:row>
    <x:row r="15">
      <x:c r="A15" s="86" t="n">
        <x:v>0.5</x:v>
      </x:c>
      <x:c r="B15" s="78" t="n">
        <x:v>0.5003166561114629</x:v>
      </x:c>
      <x:c r="C15" s="51" t="n">
        <x:v>790</x:v>
      </x:c>
      <x:c r="D15" s="74" t="n">
        <x:v>0.3236995571452717</x:v>
      </x:c>
      <x:c r="E15" s="90" t="n">
        <x:f>($D$14-D15)/$D$14</x:f>
        <x:v>0.15571320515056938</x:v>
      </x:c>
    </x:row>
    <x:row r="16">
      <x:c r="A16" s="86" t="n">
        <x:v>0.4</x:v>
      </x:c>
      <x:c r="B16" s="78" t="n">
        <x:v>0.4002533248891703</x:v>
      </x:c>
      <x:c r="C16" s="51" t="n">
        <x:v>632</x:v>
      </x:c>
      <x:c r="D16" s="74" t="n">
        <x:v>0.3015645668215986</x:v>
      </x:c>
      <x:c r="E16" s="90" t="n">
        <x:f>($D$14-D16)/$D$14</x:f>
        <x:v>0.2134466175753819</x:v>
      </x:c>
    </x:row>
    <x:row r="17">
      <x:c r="A17" s="87" t="n">
        <x:v>0.2</x:v>
      </x:c>
      <x:c r="B17" s="80" t="n">
        <x:v>0.2001266624445851</x:v>
      </x:c>
      <x:c r="C17" s="54" t="n">
        <x:v>316</x:v>
      </x:c>
      <x:c r="D17" s="75" t="n">
        <x:v>0.2706570187415587</x:v>
      </x:c>
      <x:c r="E17" s="91" t="n">
        <x:f>($D$14-D17)/$D$14</x:f>
        <x:v>0.29406098398132846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2" hidden="0" customWidth="1"/>
    <x:col min="5" max="5" width="10" hidden="0" customWidth="1"/>
    <x:col min="6" max="6" width="20" hidden="0" customWidth="1"/>
    <x:col min="7" max="7" width="23" hidden="0" customWidth="1"/>
    <x:col min="8" max="8" width="18" hidden="0" customWidth="1"/>
  </x:cols>
  <x:sheetData>
    <x:row r="1" ht="24" customHeight="1">
      <x:c r="A1" s="4" t="str">
        <x:v>Exact source data used for Fig.4(a) reliability bins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9" t="str">
        <x:v>Development reliability bins copied from Fig4a_source.csv.</x:v>
      </x:c>
      <x:c r="B2" s="9"/>
      <x:c r="C2" s="9"/>
      <x:c r="D2" s="9"/>
      <x:c r="E2" s="9"/>
      <x:c r="F2" s="9"/>
      <x:c r="G2" s="9"/>
      <x:c r="H2" s="9"/>
    </x:row>
    <x:row r="4">
      <x:c r="A4" s="22" t="str">
        <x:v>Method</x:v>
      </x:c>
      <x:c r="B4" s="23" t="str">
        <x:v>Bin ID</x:v>
      </x:c>
      <x:c r="C4" s="23" t="str">
        <x:v>Bin lower</x:v>
      </x:c>
      <x:c r="D4" s="23" t="str">
        <x:v>Bin upper</x:v>
      </x:c>
      <x:c r="E4" s="23" t="str">
        <x:v>n</x:v>
      </x:c>
      <x:c r="F4" s="23" t="str">
        <x:v>Mean probability</x:v>
      </x:c>
      <x:c r="G4" s="23" t="str">
        <x:v>Observed success rate</x:v>
      </x:c>
      <x:c r="H4" s="24" t="str">
        <x:v>Absolute gap</x:v>
      </x:c>
    </x:row>
    <x:row r="5">
      <x:c r="A5" s="50" t="str">
        <x:v>Raw</x:v>
      </x:c>
      <x:c r="B5" s="51" t="n">
        <x:v>0</x:v>
      </x:c>
      <x:c r="C5" s="94" t="n">
        <x:v>0</x:v>
      </x:c>
      <x:c r="D5" s="94" t="n">
        <x:v>0.1</x:v>
      </x:c>
      <x:c r="E5" s="51" t="n">
        <x:v>278</x:v>
      </x:c>
      <x:c r="F5" s="98" t="n">
        <x:v>0.0271882706840272</x:v>
      </x:c>
      <x:c r="G5" s="98" t="n">
        <x:v>0.3345323741007194</x:v>
      </x:c>
      <x:c r="H5" s="99" t="n">
        <x:v>0.3073441034166921</x:v>
      </x:c>
    </x:row>
    <x:row r="6">
      <x:c r="A6" s="50" t="str">
        <x:v>Raw</x:v>
      </x:c>
      <x:c r="B6" s="51" t="n">
        <x:v>1</x:v>
      </x:c>
      <x:c r="C6" s="94" t="n">
        <x:v>0.1</x:v>
      </x:c>
      <x:c r="D6" s="94" t="n">
        <x:v>0.2</x:v>
      </x:c>
      <x:c r="E6" s="51" t="n">
        <x:v>45</x:v>
      </x:c>
      <x:c r="F6" s="98" t="n">
        <x:v>0.135859507107607</x:v>
      </x:c>
      <x:c r="G6" s="98" t="n">
        <x:v>0.5777777777777777</x:v>
      </x:c>
      <x:c r="H6" s="99" t="n">
        <x:v>0.4419182706701707</x:v>
      </x:c>
    </x:row>
    <x:row r="7">
      <x:c r="A7" s="50" t="str">
        <x:v>Raw</x:v>
      </x:c>
      <x:c r="B7" s="51" t="n">
        <x:v>2</x:v>
      </x:c>
      <x:c r="C7" s="94" t="n">
        <x:v>0.2</x:v>
      </x:c>
      <x:c r="D7" s="94" t="n">
        <x:v>0.3</x:v>
      </x:c>
      <x:c r="E7" s="51" t="n">
        <x:v>2</x:v>
      </x:c>
      <x:c r="F7" s="98" t="n">
        <x:v>0.2444923271311538</x:v>
      </x:c>
      <x:c r="G7" s="98" t="n">
        <x:v>1</x:v>
      </x:c>
      <x:c r="H7" s="99" t="n">
        <x:v>0.7555076728688461</x:v>
      </x:c>
    </x:row>
    <x:row r="8">
      <x:c r="A8" s="50" t="str">
        <x:v>Platt</x:v>
      </x:c>
      <x:c r="B8" s="51" t="n">
        <x:v>4</x:v>
      </x:c>
      <x:c r="C8" s="94" t="n">
        <x:v>0.4</x:v>
      </x:c>
      <x:c r="D8" s="94" t="n">
        <x:v>0.5</x:v>
      </x:c>
      <x:c r="E8" s="51" t="n">
        <x:v>270</x:v>
      </x:c>
      <x:c r="F8" s="98" t="n">
        <x:v>0.4370622791992304</x:v>
      </x:c>
      <x:c r="G8" s="98" t="n">
        <x:v>0.337037037037037</x:v>
      </x:c>
      <x:c r="H8" s="99" t="n">
        <x:v>0.1000252421621934</x:v>
      </x:c>
    </x:row>
    <x:row r="9">
      <x:c r="A9" s="50" t="str">
        <x:v>Platt</x:v>
      </x:c>
      <x:c r="B9" s="51" t="n">
        <x:v>5</x:v>
      </x:c>
      <x:c r="C9" s="94" t="n">
        <x:v>0.5</x:v>
      </x:c>
      <x:c r="D9" s="94" t="n">
        <x:v>0.6</x:v>
      </x:c>
      <x:c r="E9" s="51" t="n">
        <x:v>53</x:v>
      </x:c>
      <x:c r="F9" s="98" t="n">
        <x:v>0.5376336531587265</x:v>
      </x:c>
      <x:c r="G9" s="98" t="n">
        <x:v>0.5283018867924528</x:v>
      </x:c>
      <x:c r="H9" s="99" t="n">
        <x:v>0.0093317663662736</x:v>
      </x:c>
    </x:row>
    <x:row r="10">
      <x:c r="A10" s="50" t="str">
        <x:v>Platt</x:v>
      </x:c>
      <x:c r="B10" s="51" t="n">
        <x:v>6</x:v>
      </x:c>
      <x:c r="C10" s="94" t="n">
        <x:v>0.6</x:v>
      </x:c>
      <x:c r="D10" s="94" t="n">
        <x:v>0.7</x:v>
      </x:c>
      <x:c r="E10" s="51" t="n">
        <x:v>2</x:v>
      </x:c>
      <x:c r="F10" s="98" t="n">
        <x:v>0.6448646397423108</x:v>
      </x:c>
      <x:c r="G10" s="98" t="n">
        <x:v>1</x:v>
      </x:c>
      <x:c r="H10" s="99" t="n">
        <x:v>0.3551353602576892</x:v>
      </x:c>
    </x:row>
    <x:row r="11">
      <x:c r="A11" s="50" t="str">
        <x:v>Isotonic</x:v>
      </x:c>
      <x:c r="B11" s="51" t="n">
        <x:v>1</x:v>
      </x:c>
      <x:c r="C11" s="94" t="n">
        <x:v>0.1</x:v>
      </x:c>
      <x:c r="D11" s="94" t="n">
        <x:v>0.2</x:v>
      </x:c>
      <x:c r="E11" s="51" t="n">
        <x:v>2</x:v>
      </x:c>
      <x:c r="F11" s="98" t="n">
        <x:v>0.1818181818181818</x:v>
      </x:c>
      <x:c r="G11" s="98" t="n">
        <x:v>0</x:v>
      </x:c>
      <x:c r="H11" s="99" t="n">
        <x:v>0.1818181818181818</x:v>
      </x:c>
    </x:row>
    <x:row r="12">
      <x:c r="A12" s="50" t="str">
        <x:v>Isotonic</x:v>
      </x:c>
      <x:c r="B12" s="51" t="n">
        <x:v>3</x:v>
      </x:c>
      <x:c r="C12" s="94" t="n">
        <x:v>0.3</x:v>
      </x:c>
      <x:c r="D12" s="94" t="n">
        <x:v>0.4</x:v>
      </x:c>
      <x:c r="E12" s="51" t="n">
        <x:v>45</x:v>
      </x:c>
      <x:c r="F12" s="98" t="n">
        <x:v>0.3807339449541284</x:v>
      </x:c>
      <x:c r="G12" s="98" t="n">
        <x:v>0.1777777777777777</x:v>
      </x:c>
      <x:c r="H12" s="99" t="n">
        <x:v>0.2029561671763506</x:v>
      </x:c>
    </x:row>
    <x:row r="13">
      <x:c r="A13" s="50" t="str">
        <x:v>Isotonic</x:v>
      </x:c>
      <x:c r="B13" s="51" t="n">
        <x:v>4</x:v>
      </x:c>
      <x:c r="C13" s="94" t="n">
        <x:v>0.4</x:v>
      </x:c>
      <x:c r="D13" s="94" t="n">
        <x:v>0.5</x:v>
      </x:c>
      <x:c r="E13" s="51" t="n">
        <x:v>195</x:v>
      </x:c>
      <x:c r="F13" s="98" t="n">
        <x:v>0.4352619613692804</x:v>
      </x:c>
      <x:c r="G13" s="98" t="n">
        <x:v>0.3846153846153846</x:v>
      </x:c>
      <x:c r="H13" s="99" t="n">
        <x:v>0.0506465767538958</x:v>
      </x:c>
    </x:row>
    <x:row r="14">
      <x:c r="A14" s="50" t="str">
        <x:v>Isotonic</x:v>
      </x:c>
      <x:c r="B14" s="51" t="n">
        <x:v>5</x:v>
      </x:c>
      <x:c r="C14" s="94" t="n">
        <x:v>0.5</x:v>
      </x:c>
      <x:c r="D14" s="94" t="n">
        <x:v>0.6</x:v>
      </x:c>
      <x:c r="E14" s="51" t="n">
        <x:v>35</x:v>
      </x:c>
      <x:c r="F14" s="98" t="n">
        <x:v>0.5450017277531913</x:v>
      </x:c>
      <x:c r="G14" s="98" t="n">
        <x:v>0.2857142857142857</x:v>
      </x:c>
      <x:c r="H14" s="99" t="n">
        <x:v>0.2592874420389056</x:v>
      </x:c>
    </x:row>
    <x:row r="15">
      <x:c r="A15" s="50" t="str">
        <x:v>Isotonic</x:v>
      </x:c>
      <x:c r="B15" s="51" t="n">
        <x:v>6</x:v>
      </x:c>
      <x:c r="C15" s="94" t="n">
        <x:v>0.6</x:v>
      </x:c>
      <x:c r="D15" s="94" t="n">
        <x:v>0.7</x:v>
      </x:c>
      <x:c r="E15" s="51" t="n">
        <x:v>46</x:v>
      </x:c>
      <x:c r="F15" s="98" t="n">
        <x:v>0.6656153965735992</x:v>
      </x:c>
      <x:c r="G15" s="98" t="n">
        <x:v>0.5652173913043478</x:v>
      </x:c>
      <x:c r="H15" s="99" t="n">
        <x:v>0.1003980052692514</x:v>
      </x:c>
    </x:row>
    <x:row r="16">
      <x:c r="A16" s="50" t="str">
        <x:v>Isotonic</x:v>
      </x:c>
      <x:c r="B16" s="51" t="n">
        <x:v>7</x:v>
      </x:c>
      <x:c r="C16" s="94" t="n">
        <x:v>0.7</x:v>
      </x:c>
      <x:c r="D16" s="94" t="n">
        <x:v>0.8</x:v>
      </x:c>
      <x:c r="E16" s="51" t="n">
        <x:v>1</x:v>
      </x:c>
      <x:c r="F16" s="98" t="n">
        <x:v>0.779173382234319</x:v>
      </x:c>
      <x:c r="G16" s="98" t="n">
        <x:v>1</x:v>
      </x:c>
      <x:c r="H16" s="99" t="n">
        <x:v>0.220826617765681</x:v>
      </x:c>
    </x:row>
    <x:row r="17">
      <x:c r="A17" s="53" t="str">
        <x:v>Isotonic</x:v>
      </x:c>
      <x:c r="B17" s="54" t="n">
        <x:v>9</x:v>
      </x:c>
      <x:c r="C17" s="95" t="n">
        <x:v>0.9</x:v>
      </x:c>
      <x:c r="D17" s="95" t="n">
        <x:v>1</x:v>
      </x:c>
      <x:c r="E17" s="54" t="n">
        <x:v>1</x:v>
      </x:c>
      <x:c r="F17" s="100" t="n">
        <x:v>1</x:v>
      </x:c>
      <x:c r="G17" s="100" t="n">
        <x:v>1</x:v>
      </x:c>
      <x:c r="H17" s="101" t="n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6" hidden="0" customWidth="1"/>
    <x:col min="4" max="4" width="14" hidden="0" customWidth="1"/>
    <x:col min="5" max="5" width="44" hidden="0" customWidth="1"/>
  </x:cols>
  <x:sheetData>
    <x:row r="1" ht="24" customHeight="1">
      <x:c r="A1" s="4" t="str">
        <x:v>Supplementary table. Boundary replication and failure profile</x:v>
      </x:c>
      <x:c r="B1" s="4"/>
      <x:c r="C1" s="4"/>
      <x:c r="D1" s="4"/>
      <x:c r="E1" s="4"/>
    </x:row>
    <x:row r="2" ht="30" customHeight="1">
      <x:c r="A2" s="9" t="str">
        <x:v>These findings define limitations; they are not evidence of overall superiority.</x:v>
      </x:c>
      <x:c r="B2" s="9"/>
      <x:c r="C2" s="9"/>
      <x:c r="D2" s="9"/>
      <x:c r="E2" s="9"/>
    </x:row>
    <x:row r="4">
      <x:c r="A4" s="22" t="str">
        <x:v>Boundary</x:v>
      </x:c>
      <x:c r="B4" s="23" t="str">
        <x:v>Comparison</x:v>
      </x:c>
      <x:c r="C4" s="23" t="str">
        <x:v>Delta NR</x:v>
      </x:c>
      <x:c r="D4" s="23" t="str">
        <x:v>Holm p</x:v>
      </x:c>
      <x:c r="E4" s="24" t="str">
        <x:v>Final-Test result</x:v>
      </x:c>
    </x:row>
    <x:row r="5">
      <x:c r="A5" s="50" t="str">
        <x:v>B1</x:v>
      </x:c>
      <x:c r="B5" s="51" t="str">
        <x:v>Near-tie vs Quality Rule</x:v>
      </x:c>
      <x:c r="C5" s="74" t="n">
        <x:v>0.0058</x:v>
      </x:c>
      <x:c r="D5" s="74" t="n">
        <x:v>1</x:v>
      </x:c>
      <x:c r="E5" s="52" t="str">
        <x:v>Not replicated</x:v>
      </x:c>
    </x:row>
    <x:row r="6">
      <x:c r="A6" s="50" t="str">
        <x:v>B2</x:v>
      </x:c>
      <x:c r="B6" s="51" t="str">
        <x:v>Low-Q vs Quality Rule</x:v>
      </x:c>
      <x:c r="C6" s="74" t="n">
        <x:v>0.0519</x:v>
      </x:c>
      <x:c r="D6" s="74" t="n">
        <x:v>1</x:v>
      </x:c>
      <x:c r="E6" s="52" t="str">
        <x:v>Not replicated; unfavorable direction</x:v>
      </x:c>
    </x:row>
    <x:row r="7">
      <x:c r="A7" s="50" t="str">
        <x:v>B3</x:v>
      </x:c>
      <x:c r="B7" s="51" t="str">
        <x:v>Far-distance vs Nearest</x:v>
      </x:c>
      <x:c r="C7" s="74" t="n">
        <x:v>-0.0348</x:v>
      </x:c>
      <x:c r="D7" s="74" t="n">
        <x:v>0.6035</x:v>
      </x:c>
      <x:c r="E7" s="52" t="str">
        <x:v>Direction retained; not significant</x:v>
      </x:c>
    </x:row>
    <x:row r="8">
      <x:c r="A8" s="53" t="str">
        <x:v>B4</x:v>
      </x:c>
      <x:c r="B8" s="54" t="str">
        <x:v>Weekday failure vs Quality Rule</x:v>
      </x:c>
      <x:c r="C8" s="75" t="n">
        <x:v>0.0087</x:v>
      </x:c>
      <x:c r="D8" s="75" t="n">
        <x:v>1</x:v>
      </x:c>
      <x:c r="E8" s="55" t="str">
        <x:v>Not replicated</x:v>
      </x:c>
    </x:row>
    <x:row r="11">
      <x:c r="A11" s="22" t="str">
        <x:v>Failure category</x:v>
      </x:c>
      <x:c r="B11" s="23" t="str">
        <x:v>Count</x:v>
      </x:c>
      <x:c r="C11" s="23" t="str">
        <x:v>Denominator</x:v>
      </x:c>
      <x:c r="D11" s="24" t="str">
        <x:v>Share</x:v>
      </x:c>
    </x:row>
    <x:row r="12">
      <x:c r="A12" s="50" t="str">
        <x:v>Near-oracle decisions</x:v>
      </x:c>
      <x:c r="B12" s="51" t="n">
        <x:v>725</x:v>
      </x:c>
      <x:c r="C12" s="51" t="n">
        <x:v>1579</x:v>
      </x:c>
      <x:c r="D12" s="90" t="n">
        <x:f>B12/C12</x:f>
        <x:v>0.4591513616212793</x:v>
      </x:c>
    </x:row>
    <x:row r="13">
      <x:c r="A13" s="50" t="str">
        <x:v>Severe failure (NR &gt;= 0.75)</x:v>
      </x:c>
      <x:c r="B13" s="51" t="n">
        <x:v>426</x:v>
      </x:c>
      <x:c r="C13" s="51" t="n">
        <x:v>1579</x:v>
      </x:c>
      <x:c r="D13" s="90" t="n">
        <x:f>B13/C13</x:f>
        <x:v>0.26979100696643443</x:v>
      </x:c>
    </x:row>
    <x:row r="14">
      <x:c r="A14" s="50" t="str">
        <x:v>Extreme failure (NR &gt;= 0.95)</x:v>
      </x:c>
      <x:c r="B14" s="51" t="n">
        <x:v>331</x:v>
      </x:c>
      <x:c r="C14" s="51" t="n">
        <x:v>1579</x:v>
      </x:c>
      <x:c r="D14" s="90" t="n">
        <x:f>B14/C14</x:f>
        <x:v>0.20962634578847372</x:v>
      </x:c>
    </x:row>
    <x:row r="15">
      <x:c r="A15" s="53" t="str">
        <x:v>High-confidence severe failures</x:v>
      </x:c>
      <x:c r="B15" s="54" t="n">
        <x:v>86</x:v>
      </x:c>
      <x:c r="C15" s="54" t="n">
        <x:v>1579</x:v>
      </x:c>
      <x:c r="D15" s="91" t="n">
        <x:f>B15/C15</x:f>
        <x:v>0.05446485117162761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88" hidden="0" customWidth="1"/>
  </x:cols>
  <x:sheetData>
    <x:row r="1" ht="24" customHeight="1">
      <x:c r="A1" s="4" t="str">
        <x:v>Supplementary table. Downstream evaluator sensitivity</x:v>
      </x:c>
      <x:c r="B1" s="4"/>
      <x:c r="C1" s="4"/>
    </x:row>
    <x:row r="2" ht="30" customHeight="1">
      <x:c r="A2" s="9" t="str">
        <x:v>Supporting evidence only; source utility changes with the frozen downstream evaluator.</x:v>
      </x:c>
      <x:c r="B2" s="9"/>
      <x:c r="C2" s="9"/>
    </x:row>
    <x:row r="4">
      <x:c r="A4" s="22" t="str">
        <x:v>Frozen evaluator</x:v>
      </x:c>
      <x:c r="B4" s="23" t="str">
        <x:v>JEV MAE (mph)</x:v>
      </x:c>
      <x:c r="C4" s="24" t="str">
        <x:v>Interpretation</x:v>
      </x:c>
    </x:row>
    <x:row r="5">
      <x:c r="A5" s="50" t="str">
        <x:v>Frozen XGBoost H30 evaluator</x:v>
      </x:c>
      <x:c r="B5" s="74" t="n">
        <x:v>4.3027</x:v>
      </x:c>
      <x:c r="C5" s="52" t="str">
        <x:v>JEV clearly better than Nearest only; not downstream superiority evidence</x:v>
      </x:c>
    </x:row>
    <x:row r="6">
      <x:c r="A6" s="53" t="str">
        <x:v>Frozen GRU H30 evaluator</x:v>
      </x:c>
      <x:c r="B6" s="75" t="n">
        <x:v>3.8083</x:v>
      </x:c>
      <x:c r="C6" s="55" t="str">
        <x:v>JEV better than Ridge/XGB/GRU selectors but below Nearest/Historical Best/Quality; ranking is evaluator-sensitive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5" hidden="0" customWidth="1"/>
    <x:col min="3" max="3" width="24" hidden="0" customWidth="1"/>
    <x:col min="4" max="4" width="62" hidden="0" customWidth="1"/>
  </x:cols>
  <x:sheetData>
    <x:row r="1" ht="24" customHeight="1">
      <x:c r="A1" s="4" t="str">
        <x:v>Evidence register for manuscript tables</x:v>
      </x:c>
      <x:c r="B1" s="4"/>
      <x:c r="C1" s="4"/>
      <x:c r="D1" s="4"/>
    </x:row>
    <x:row r="2" ht="30" customHeight="1">
      <x:c r="A2" s="9" t="str">
        <x:v>Use this sheet to prevent development/supporting evidence from being written as Final Test confirmation.</x:v>
      </x:c>
      <x:c r="B2" s="9"/>
      <x:c r="C2" s="9"/>
      <x:c r="D2" s="9"/>
    </x:row>
    <x:row r="4">
      <x:c r="A4" s="22" t="str">
        <x:v>Evidence block</x:v>
      </x:c>
      <x:c r="B4" s="23" t="str">
        <x:v>Level</x:v>
      </x:c>
      <x:c r="C4" s="23" t="str">
        <x:v>Main-text table?</x:v>
      </x:c>
      <x:c r="D4" s="24" t="str">
        <x:v>Rule</x:v>
      </x:c>
    </x:row>
    <x:row r="5">
      <x:c r="A5" s="50" t="str">
        <x:v>Final selector performance / P1-P4</x:v>
      </x:c>
      <x:c r="B5" s="51" t="str">
        <x:v>Final Test confirmatory</x:v>
      </x:c>
      <x:c r="C5" s="51" t="str">
        <x:v>Yes - Table 2</x:v>
      </x:c>
      <x:c r="D5" s="52" t="str">
        <x:v>Report unfavorable P2/P3 directions explicitly</x:v>
      </x:c>
    </x:row>
    <x:row r="6">
      <x:c r="A6" s="50" t="str">
        <x:v>Calibration C1-C3 / risk-coverage</x:v>
      </x:c>
      <x:c r="B6" s="51" t="str">
        <x:v>Final Test confirmatory</x:v>
      </x:c>
      <x:c r="C6" s="51" t="str">
        <x:v>Yes - Table 3</x:v>
      </x:c>
      <x:c r="D6" s="52" t="str">
        <x:v>C2 is NOT supported</x:v>
      </x:c>
    </x:row>
    <x:row r="7">
      <x:c r="A7" s="50" t="str">
        <x:v>Step2E efficiency</x:v>
      </x:c>
      <x:c r="B7" s="51" t="str">
        <x:v>Frozen development</x:v>
      </x:c>
      <x:c r="C7" s="51" t="str">
        <x:v>No; Fig.5 / Supplement</x:v>
      </x:c>
      <x:c r="D7" s="52" t="str">
        <x:v>Use exact production Step2E source values only</x:v>
      </x:c>
    </x:row>
    <x:row r="8">
      <x:c r="A8" s="50" t="str">
        <x:v>Step2G ablation</x:v>
      </x:c>
      <x:c r="B8" s="51" t="str">
        <x:v>Frozen development</x:v>
      </x:c>
      <x:c r="C8" s="51" t="str">
        <x:v>No; Fig.5 / Supplement</x:v>
      </x:c>
      <x:c r="D8" s="52" t="str">
        <x:v>Do not call held-out confirmation</x:v>
      </x:c>
    </x:row>
    <x:row r="9">
      <x:c r="A9" s="50" t="str">
        <x:v>Boundary B1-B4</x:v>
      </x:c>
      <x:c r="B9" s="51" t="str">
        <x:v>Final Test supporting</x:v>
      </x:c>
      <x:c r="C9" s="51" t="str">
        <x:v>Supplement only</x:v>
      </x:c>
      <x:c r="D9" s="52" t="str">
        <x:v>0/4 replicated</x:v>
      </x:c>
    </x:row>
    <x:row r="10">
      <x:c r="A10" s="53" t="str">
        <x:v>Downstream evaluator sensitivity</x:v>
      </x:c>
      <x:c r="B10" s="54" t="str">
        <x:v>Supporting/descriptive</x:v>
      </x:c>
      <x:c r="C10" s="54" t="str">
        <x:v>Supplement only</x:v>
      </x:c>
      <x:c r="D10" s="55" t="str">
        <x:v>Do not claim evaluator-independent source trust</x:v>
      </x:c>
    </x:row>
  </x:sheetData>
  <x:mergeCells>
    <x:mergeCell ref="A1:D1"/>
    <x:mergeCell ref="A2:D2"/>
  </x:mergeCells>
  <x:pageMargins left="0.7" right="0.7" top="0.75" bottom="0.75" header="0.3" footer="0.3"/>
</x:worksheet>
</file>